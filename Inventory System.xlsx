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2"/>
  </bookViews>
  <sheets>
    <sheet name="Inventory System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7" i="3"/>
  <c r="K8"/>
  <c r="K9"/>
  <c r="K10"/>
  <c r="K11"/>
  <c r="K12"/>
  <c r="K13"/>
  <c r="K14"/>
  <c r="K15"/>
  <c r="K16"/>
  <c r="K17"/>
  <c r="K18"/>
  <c r="K19"/>
  <c r="K20"/>
  <c r="K6"/>
  <c r="R7"/>
  <c r="R8"/>
  <c r="R9"/>
  <c r="R10"/>
  <c r="R11"/>
  <c r="R12"/>
  <c r="R13"/>
  <c r="R14"/>
  <c r="R15"/>
  <c r="R16"/>
  <c r="R17"/>
  <c r="R18"/>
  <c r="R19"/>
  <c r="R20"/>
  <c r="R6"/>
  <c r="Q7"/>
  <c r="Q8"/>
  <c r="Q9"/>
  <c r="Q10"/>
  <c r="Q11"/>
  <c r="Q12"/>
  <c r="Q13"/>
  <c r="Q14"/>
  <c r="Q15"/>
  <c r="Q16"/>
  <c r="Q17"/>
  <c r="Q18"/>
  <c r="Q19"/>
  <c r="Q20"/>
  <c r="Q6"/>
  <c r="E7"/>
  <c r="E8"/>
  <c r="E9"/>
  <c r="E10"/>
  <c r="E11"/>
  <c r="E12"/>
  <c r="E13"/>
  <c r="E14"/>
  <c r="E15"/>
  <c r="E16"/>
  <c r="E17"/>
  <c r="E18"/>
  <c r="E19"/>
  <c r="E20"/>
  <c r="E6"/>
  <c r="S14" l="1"/>
  <c r="U14" s="1"/>
  <c r="S10"/>
  <c r="U10" s="1"/>
  <c r="S6"/>
  <c r="U6" s="1"/>
  <c r="S17"/>
  <c r="U17" s="1"/>
  <c r="S13"/>
  <c r="U13" s="1"/>
  <c r="S9"/>
  <c r="U9" s="1"/>
  <c r="S18"/>
  <c r="U18" s="1"/>
  <c r="S19"/>
  <c r="U19" s="1"/>
  <c r="S15"/>
  <c r="U15" s="1"/>
  <c r="S11"/>
  <c r="U11" s="1"/>
  <c r="S7"/>
  <c r="U7" s="1"/>
  <c r="S20"/>
  <c r="U20" s="1"/>
  <c r="S16"/>
  <c r="U16" s="1"/>
  <c r="S12"/>
  <c r="U12" s="1"/>
  <c r="S8"/>
  <c r="U8" s="1"/>
</calcChain>
</file>

<file path=xl/sharedStrings.xml><?xml version="1.0" encoding="utf-8"?>
<sst xmlns="http://schemas.openxmlformats.org/spreadsheetml/2006/main" count="62" uniqueCount="43">
  <si>
    <t>Date</t>
  </si>
  <si>
    <t>Product</t>
  </si>
  <si>
    <t>Qty</t>
  </si>
  <si>
    <t>Stock In</t>
  </si>
  <si>
    <t>S/NO.</t>
  </si>
  <si>
    <t>Code</t>
  </si>
  <si>
    <t>Stock Out</t>
  </si>
  <si>
    <t>Balance In Stock</t>
  </si>
  <si>
    <t>Purchases</t>
  </si>
  <si>
    <t>Sales</t>
  </si>
  <si>
    <t>Stock</t>
  </si>
  <si>
    <t>Stock Alert</t>
  </si>
  <si>
    <t>Inventory  Management Sheet</t>
  </si>
  <si>
    <t>iphone 16</t>
  </si>
  <si>
    <t>iphone 17 pro max</t>
  </si>
  <si>
    <t>Samsung Galaxy A53</t>
  </si>
  <si>
    <t xml:space="preserve">Samsung Galaxy s25 </t>
  </si>
  <si>
    <t>Google Pixel Pro XL</t>
  </si>
  <si>
    <t>Xaiomi 15 Ultra</t>
  </si>
  <si>
    <t>Poco X7 Pro</t>
  </si>
  <si>
    <t>Tecno Camon 30</t>
  </si>
  <si>
    <t>Redmi Note 15 Pro</t>
  </si>
  <si>
    <t>Honor X9C</t>
  </si>
  <si>
    <t>Samsung Galaxy A56</t>
  </si>
  <si>
    <t>Motorola Razr 60 Ultra</t>
  </si>
  <si>
    <t>Motorola Razr 80 Ultra</t>
  </si>
  <si>
    <t>Infinix Hot 50 Pro</t>
  </si>
  <si>
    <t>Tecno Camon 40 Pro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</si>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</sst>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4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Font="1" applyBorder="1" applyAlignment="1">
      <alignment vertical="center"/>
    </xf>
    <xf numFmtId="14" fontId="0" fillId="0" borderId="2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6" sqref="E6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U20"/>
  <sheetViews>
    <sheetView tabSelected="1" topLeftCell="B1" workbookViewId="0">
      <selection activeCell="D11" sqref="D11"/>
    </sheetView>
  </sheetViews>
  <sheetFormatPr defaultRowHeight="15"/>
  <cols>
    <col min="1" max="1" width="4" style="3" customWidth="1"/>
    <col min="2" max="2" width="6.28515625" style="3" bestFit="1" customWidth="1"/>
    <col min="3" max="3" width="10.7109375" style="3" bestFit="1" customWidth="1"/>
    <col min="4" max="4" width="19.140625" style="3" bestFit="1" customWidth="1"/>
    <col min="5" max="5" width="5.7109375" style="3" bestFit="1" customWidth="1"/>
    <col min="6" max="6" width="9.140625" style="3"/>
    <col min="7" max="7" width="3.42578125" style="3" customWidth="1"/>
    <col min="8" max="8" width="6.28515625" style="3" bestFit="1" customWidth="1"/>
    <col min="9" max="9" width="10.7109375" style="3" bestFit="1" customWidth="1"/>
    <col min="10" max="10" width="19.140625" style="3" bestFit="1" customWidth="1"/>
    <col min="11" max="11" width="5.7109375" style="3" bestFit="1" customWidth="1"/>
    <col min="12" max="12" width="9.140625" style="3"/>
    <col min="13" max="13" width="3.28515625" style="3" customWidth="1"/>
    <col min="14" max="14" width="6.28515625" style="3" bestFit="1" customWidth="1"/>
    <col min="15" max="15" width="20.7109375" style="3" bestFit="1" customWidth="1"/>
    <col min="16" max="16" width="5.7109375" style="3" bestFit="1" customWidth="1"/>
    <col min="17" max="17" width="9.85546875" style="3" bestFit="1" customWidth="1"/>
    <col min="18" max="19" width="9.140625" style="3"/>
    <col min="20" max="20" width="4.7109375" style="3" customWidth="1"/>
    <col min="21" max="21" width="12.7109375" style="3" customWidth="1"/>
    <col min="22" max="16384" width="9.140625" style="3"/>
  </cols>
  <sheetData>
    <row r="2" spans="2:21" ht="23.25">
      <c r="B2" s="2" t="s">
        <v>12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spans="2:21" ht="17.25" customHeight="1">
      <c r="B4" s="4" t="s">
        <v>3</v>
      </c>
      <c r="C4" s="4"/>
      <c r="D4" s="4"/>
      <c r="E4" s="4"/>
      <c r="F4" s="4"/>
      <c r="H4" s="5" t="s">
        <v>6</v>
      </c>
      <c r="I4" s="5"/>
      <c r="J4" s="5"/>
      <c r="K4" s="5"/>
      <c r="L4" s="5"/>
      <c r="N4" s="6" t="s">
        <v>7</v>
      </c>
      <c r="O4" s="6"/>
      <c r="P4" s="6"/>
      <c r="Q4" s="6"/>
      <c r="R4" s="6"/>
      <c r="S4" s="6"/>
      <c r="U4" s="1" t="s">
        <v>11</v>
      </c>
    </row>
    <row r="5" spans="2:21" ht="17.25" customHeight="1">
      <c r="B5" s="7" t="s">
        <v>4</v>
      </c>
      <c r="C5" s="7" t="s">
        <v>0</v>
      </c>
      <c r="D5" s="7" t="s">
        <v>1</v>
      </c>
      <c r="E5" s="7" t="s">
        <v>5</v>
      </c>
      <c r="F5" s="7" t="s">
        <v>2</v>
      </c>
      <c r="G5" s="8"/>
      <c r="H5" s="9" t="s">
        <v>4</v>
      </c>
      <c r="I5" s="9" t="s">
        <v>0</v>
      </c>
      <c r="J5" s="9" t="s">
        <v>1</v>
      </c>
      <c r="K5" s="9" t="s">
        <v>5</v>
      </c>
      <c r="L5" s="9" t="s">
        <v>2</v>
      </c>
      <c r="M5" s="8"/>
      <c r="N5" s="10" t="s">
        <v>4</v>
      </c>
      <c r="O5" s="10" t="s">
        <v>1</v>
      </c>
      <c r="P5" s="10" t="s">
        <v>5</v>
      </c>
      <c r="Q5" s="10" t="s">
        <v>8</v>
      </c>
      <c r="R5" s="10" t="s">
        <v>9</v>
      </c>
      <c r="S5" s="10" t="s">
        <v>10</v>
      </c>
      <c r="T5" s="8"/>
      <c r="U5" s="1"/>
    </row>
    <row r="6" spans="2:21" ht="17.25" customHeight="1">
      <c r="B6" s="11">
        <v>1</v>
      </c>
      <c r="C6" s="21">
        <v>46032</v>
      </c>
      <c r="D6" s="12" t="s">
        <v>14</v>
      </c>
      <c r="E6" s="12" t="str">
        <f>IFERROR(INDEX($P$6:$P$20,MATCH(D6,$O$6:$O$20,0)),"")</f>
        <v>M002</v>
      </c>
      <c r="F6" s="12">
        <v>200</v>
      </c>
      <c r="H6" s="13">
        <v>1</v>
      </c>
      <c r="I6" s="20">
        <v>46040</v>
      </c>
      <c r="J6" s="14" t="s">
        <v>14</v>
      </c>
      <c r="K6" s="14" t="str">
        <f>IFERROR(INDEX($P$6:$P$20,MATCH(J6,$O$6:$O$20,0)),"")</f>
        <v>M002</v>
      </c>
      <c r="L6" s="14">
        <v>25</v>
      </c>
      <c r="N6" s="15">
        <v>1</v>
      </c>
      <c r="O6" s="16" t="s">
        <v>13</v>
      </c>
      <c r="P6" s="17" t="s">
        <v>28</v>
      </c>
      <c r="Q6" s="17">
        <f>SUMIF($D$6:$D$20,O6,$F$6:$F$20)</f>
        <v>100</v>
      </c>
      <c r="R6" s="17">
        <f>SUMIF($J$6:$J$20,O6,$L$6:$L$20)</f>
        <v>50</v>
      </c>
      <c r="S6" s="17">
        <f>Q6-R6</f>
        <v>50</v>
      </c>
      <c r="U6" s="18" t="str">
        <f>IF(S6&lt;5,"Out of Stock","")</f>
        <v/>
      </c>
    </row>
    <row r="7" spans="2:21" ht="17.25" customHeight="1">
      <c r="B7" s="11">
        <v>2</v>
      </c>
      <c r="C7" s="21">
        <v>46033</v>
      </c>
      <c r="D7" s="12" t="s">
        <v>13</v>
      </c>
      <c r="E7" s="12" t="str">
        <f t="shared" ref="E7:E20" si="0">IFERROR(INDEX($P$6:$P$20,MATCH(D7,$O$6:$O$20,0)),"")</f>
        <v>M001</v>
      </c>
      <c r="F7" s="12">
        <v>100</v>
      </c>
      <c r="H7" s="13">
        <v>2</v>
      </c>
      <c r="I7" s="20">
        <v>46041</v>
      </c>
      <c r="J7" s="14" t="s">
        <v>13</v>
      </c>
      <c r="K7" s="14" t="str">
        <f t="shared" ref="K7:K20" si="1">IFERROR(INDEX($P$6:$P$20,MATCH(J7,$O$6:$O$20,0)),"")</f>
        <v>M001</v>
      </c>
      <c r="L7" s="14">
        <v>50</v>
      </c>
      <c r="N7" s="15">
        <v>2</v>
      </c>
      <c r="O7" s="16" t="s">
        <v>14</v>
      </c>
      <c r="P7" s="17" t="s">
        <v>29</v>
      </c>
      <c r="Q7" s="17">
        <f t="shared" ref="Q7:Q20" si="2">SUMIF($D$6:$D$20,O7,$F$6:$F$20)</f>
        <v>220</v>
      </c>
      <c r="R7" s="17">
        <f t="shared" ref="R7:R20" si="3">SUMIF($J$6:$J$20,O7,$L$6:$L$20)</f>
        <v>65</v>
      </c>
      <c r="S7" s="17">
        <f t="shared" ref="S7:S20" si="4">Q7-R7</f>
        <v>155</v>
      </c>
      <c r="U7" s="18" t="str">
        <f t="shared" ref="U7:U20" si="5">IF(S7&lt;5,"Out of Stock","")</f>
        <v/>
      </c>
    </row>
    <row r="8" spans="2:21" ht="17.25" customHeight="1">
      <c r="B8" s="11">
        <v>3</v>
      </c>
      <c r="C8" s="21">
        <v>46033</v>
      </c>
      <c r="D8" s="12" t="s">
        <v>16</v>
      </c>
      <c r="E8" s="12" t="str">
        <f t="shared" si="0"/>
        <v>M003</v>
      </c>
      <c r="F8" s="12">
        <v>150</v>
      </c>
      <c r="H8" s="13">
        <v>3</v>
      </c>
      <c r="I8" s="20">
        <v>46043</v>
      </c>
      <c r="J8" s="14" t="s">
        <v>16</v>
      </c>
      <c r="K8" s="14" t="str">
        <f t="shared" si="1"/>
        <v>M003</v>
      </c>
      <c r="L8" s="14">
        <v>100</v>
      </c>
      <c r="N8" s="15">
        <v>3</v>
      </c>
      <c r="O8" s="16" t="s">
        <v>16</v>
      </c>
      <c r="P8" s="17" t="s">
        <v>30</v>
      </c>
      <c r="Q8" s="17">
        <f t="shared" si="2"/>
        <v>150</v>
      </c>
      <c r="R8" s="17">
        <f t="shared" si="3"/>
        <v>100</v>
      </c>
      <c r="S8" s="17">
        <f t="shared" si="4"/>
        <v>50</v>
      </c>
      <c r="U8" s="18" t="str">
        <f t="shared" si="5"/>
        <v/>
      </c>
    </row>
    <row r="9" spans="2:21" ht="17.25" customHeight="1">
      <c r="B9" s="11">
        <v>4</v>
      </c>
      <c r="C9" s="20">
        <v>46045</v>
      </c>
      <c r="D9" s="12" t="s">
        <v>14</v>
      </c>
      <c r="E9" s="12" t="str">
        <f t="shared" si="0"/>
        <v>M002</v>
      </c>
      <c r="F9" s="19">
        <v>20</v>
      </c>
      <c r="H9" s="13">
        <v>4</v>
      </c>
      <c r="I9" s="20">
        <v>46045</v>
      </c>
      <c r="J9" s="14" t="s">
        <v>14</v>
      </c>
      <c r="K9" s="14" t="str">
        <f t="shared" si="1"/>
        <v>M002</v>
      </c>
      <c r="L9" s="14">
        <v>10</v>
      </c>
      <c r="N9" s="15">
        <v>4</v>
      </c>
      <c r="O9" s="16" t="s">
        <v>15</v>
      </c>
      <c r="P9" s="17" t="s">
        <v>31</v>
      </c>
      <c r="Q9" s="17">
        <f t="shared" si="2"/>
        <v>50</v>
      </c>
      <c r="R9" s="17">
        <f t="shared" si="3"/>
        <v>5</v>
      </c>
      <c r="S9" s="17">
        <f t="shared" si="4"/>
        <v>45</v>
      </c>
      <c r="U9" s="18" t="str">
        <f t="shared" si="5"/>
        <v/>
      </c>
    </row>
    <row r="10" spans="2:21" ht="17.25" customHeight="1">
      <c r="B10" s="11">
        <v>5</v>
      </c>
      <c r="C10" s="20">
        <v>46045</v>
      </c>
      <c r="D10" s="12" t="s">
        <v>15</v>
      </c>
      <c r="E10" s="12" t="str">
        <f t="shared" si="0"/>
        <v>M004</v>
      </c>
      <c r="F10" s="12">
        <v>50</v>
      </c>
      <c r="H10" s="13">
        <v>5</v>
      </c>
      <c r="I10" s="20">
        <v>46045</v>
      </c>
      <c r="J10" s="14" t="s">
        <v>15</v>
      </c>
      <c r="K10" s="14" t="str">
        <f t="shared" si="1"/>
        <v>M004</v>
      </c>
      <c r="L10" s="14">
        <v>5</v>
      </c>
      <c r="N10" s="15">
        <v>5</v>
      </c>
      <c r="O10" s="16" t="s">
        <v>17</v>
      </c>
      <c r="P10" s="17" t="s">
        <v>32</v>
      </c>
      <c r="Q10" s="17">
        <f t="shared" si="2"/>
        <v>0</v>
      </c>
      <c r="R10" s="17">
        <f t="shared" si="3"/>
        <v>0</v>
      </c>
      <c r="S10" s="17">
        <f t="shared" si="4"/>
        <v>0</v>
      </c>
      <c r="U10" s="18" t="str">
        <f t="shared" si="5"/>
        <v>Out of Stock</v>
      </c>
    </row>
    <row r="11" spans="2:21" ht="17.25" customHeight="1">
      <c r="B11" s="11">
        <v>6</v>
      </c>
      <c r="C11" s="21"/>
      <c r="D11" s="12"/>
      <c r="E11" s="12" t="str">
        <f t="shared" si="0"/>
        <v/>
      </c>
      <c r="F11" s="12"/>
      <c r="H11" s="13">
        <v>6</v>
      </c>
      <c r="I11" s="20">
        <v>46045</v>
      </c>
      <c r="J11" s="14" t="s">
        <v>14</v>
      </c>
      <c r="K11" s="14" t="str">
        <f t="shared" si="1"/>
        <v>M002</v>
      </c>
      <c r="L11" s="14">
        <v>30</v>
      </c>
      <c r="N11" s="15">
        <v>6</v>
      </c>
      <c r="O11" s="16" t="s">
        <v>18</v>
      </c>
      <c r="P11" s="17" t="s">
        <v>33</v>
      </c>
      <c r="Q11" s="17">
        <f t="shared" si="2"/>
        <v>0</v>
      </c>
      <c r="R11" s="17">
        <f t="shared" si="3"/>
        <v>0</v>
      </c>
      <c r="S11" s="17">
        <f t="shared" si="4"/>
        <v>0</v>
      </c>
      <c r="U11" s="18" t="str">
        <f t="shared" si="5"/>
        <v>Out of Stock</v>
      </c>
    </row>
    <row r="12" spans="2:21" ht="17.25" customHeight="1">
      <c r="B12" s="11">
        <v>7</v>
      </c>
      <c r="C12" s="21"/>
      <c r="D12" s="12"/>
      <c r="E12" s="12" t="str">
        <f t="shared" si="0"/>
        <v/>
      </c>
      <c r="F12" s="12"/>
      <c r="H12" s="13">
        <v>7</v>
      </c>
      <c r="I12" s="20"/>
      <c r="J12" s="14"/>
      <c r="K12" s="14" t="str">
        <f t="shared" si="1"/>
        <v/>
      </c>
      <c r="L12" s="14"/>
      <c r="N12" s="15">
        <v>7</v>
      </c>
      <c r="O12" s="16" t="s">
        <v>19</v>
      </c>
      <c r="P12" s="17" t="s">
        <v>34</v>
      </c>
      <c r="Q12" s="17">
        <f t="shared" si="2"/>
        <v>0</v>
      </c>
      <c r="R12" s="17">
        <f t="shared" si="3"/>
        <v>0</v>
      </c>
      <c r="S12" s="17">
        <f t="shared" si="4"/>
        <v>0</v>
      </c>
      <c r="U12" s="18" t="str">
        <f t="shared" si="5"/>
        <v>Out of Stock</v>
      </c>
    </row>
    <row r="13" spans="2:21" ht="17.25" customHeight="1">
      <c r="B13" s="11">
        <v>8</v>
      </c>
      <c r="C13" s="21"/>
      <c r="D13" s="12"/>
      <c r="E13" s="12" t="str">
        <f t="shared" si="0"/>
        <v/>
      </c>
      <c r="F13" s="12"/>
      <c r="H13" s="13">
        <v>8</v>
      </c>
      <c r="I13" s="20"/>
      <c r="J13" s="14"/>
      <c r="K13" s="14" t="str">
        <f t="shared" si="1"/>
        <v/>
      </c>
      <c r="L13" s="14"/>
      <c r="N13" s="15">
        <v>8</v>
      </c>
      <c r="O13" s="16" t="s">
        <v>20</v>
      </c>
      <c r="P13" s="17" t="s">
        <v>35</v>
      </c>
      <c r="Q13" s="17">
        <f t="shared" si="2"/>
        <v>0</v>
      </c>
      <c r="R13" s="17">
        <f t="shared" si="3"/>
        <v>0</v>
      </c>
      <c r="S13" s="17">
        <f t="shared" si="4"/>
        <v>0</v>
      </c>
      <c r="U13" s="18" t="str">
        <f t="shared" si="5"/>
        <v>Out of Stock</v>
      </c>
    </row>
    <row r="14" spans="2:21" ht="17.25" customHeight="1">
      <c r="B14" s="11">
        <v>9</v>
      </c>
      <c r="C14" s="21"/>
      <c r="D14" s="12"/>
      <c r="E14" s="12" t="str">
        <f t="shared" si="0"/>
        <v/>
      </c>
      <c r="F14" s="12"/>
      <c r="H14" s="13">
        <v>9</v>
      </c>
      <c r="I14" s="20"/>
      <c r="J14" s="14"/>
      <c r="K14" s="14" t="str">
        <f t="shared" si="1"/>
        <v/>
      </c>
      <c r="L14" s="14"/>
      <c r="N14" s="15">
        <v>9</v>
      </c>
      <c r="O14" s="16" t="s">
        <v>21</v>
      </c>
      <c r="P14" s="17" t="s">
        <v>36</v>
      </c>
      <c r="Q14" s="17">
        <f t="shared" si="2"/>
        <v>0</v>
      </c>
      <c r="R14" s="17">
        <f t="shared" si="3"/>
        <v>0</v>
      </c>
      <c r="S14" s="17">
        <f t="shared" si="4"/>
        <v>0</v>
      </c>
      <c r="U14" s="18" t="str">
        <f t="shared" si="5"/>
        <v>Out of Stock</v>
      </c>
    </row>
    <row r="15" spans="2:21" ht="17.25" customHeight="1">
      <c r="B15" s="11">
        <v>10</v>
      </c>
      <c r="C15" s="21"/>
      <c r="D15" s="12"/>
      <c r="E15" s="12" t="str">
        <f t="shared" si="0"/>
        <v/>
      </c>
      <c r="F15" s="12"/>
      <c r="H15" s="13">
        <v>10</v>
      </c>
      <c r="I15" s="20"/>
      <c r="J15" s="14"/>
      <c r="K15" s="14" t="str">
        <f t="shared" si="1"/>
        <v/>
      </c>
      <c r="L15" s="14"/>
      <c r="N15" s="15">
        <v>10</v>
      </c>
      <c r="O15" s="16" t="s">
        <v>22</v>
      </c>
      <c r="P15" s="17" t="s">
        <v>37</v>
      </c>
      <c r="Q15" s="17">
        <f t="shared" si="2"/>
        <v>0</v>
      </c>
      <c r="R15" s="17">
        <f t="shared" si="3"/>
        <v>0</v>
      </c>
      <c r="S15" s="17">
        <f t="shared" si="4"/>
        <v>0</v>
      </c>
      <c r="U15" s="18" t="str">
        <f t="shared" si="5"/>
        <v>Out of Stock</v>
      </c>
    </row>
    <row r="16" spans="2:21" ht="17.25" customHeight="1">
      <c r="B16" s="11">
        <v>11</v>
      </c>
      <c r="C16" s="21"/>
      <c r="D16" s="12"/>
      <c r="E16" s="12" t="str">
        <f t="shared" si="0"/>
        <v/>
      </c>
      <c r="F16" s="12"/>
      <c r="H16" s="13">
        <v>11</v>
      </c>
      <c r="I16" s="20"/>
      <c r="J16" s="14"/>
      <c r="K16" s="14" t="str">
        <f t="shared" si="1"/>
        <v/>
      </c>
      <c r="L16" s="14"/>
      <c r="N16" s="15">
        <v>11</v>
      </c>
      <c r="O16" s="16" t="s">
        <v>23</v>
      </c>
      <c r="P16" s="17" t="s">
        <v>38</v>
      </c>
      <c r="Q16" s="17">
        <f t="shared" si="2"/>
        <v>0</v>
      </c>
      <c r="R16" s="17">
        <f t="shared" si="3"/>
        <v>0</v>
      </c>
      <c r="S16" s="17">
        <f t="shared" si="4"/>
        <v>0</v>
      </c>
      <c r="U16" s="18" t="str">
        <f t="shared" si="5"/>
        <v>Out of Stock</v>
      </c>
    </row>
    <row r="17" spans="2:21" ht="17.25" customHeight="1">
      <c r="B17" s="11">
        <v>12</v>
      </c>
      <c r="C17" s="21"/>
      <c r="D17" s="12"/>
      <c r="E17" s="12" t="str">
        <f t="shared" si="0"/>
        <v/>
      </c>
      <c r="F17" s="12"/>
      <c r="H17" s="13">
        <v>12</v>
      </c>
      <c r="I17" s="20"/>
      <c r="J17" s="14"/>
      <c r="K17" s="14" t="str">
        <f t="shared" si="1"/>
        <v/>
      </c>
      <c r="L17" s="14"/>
      <c r="N17" s="15">
        <v>12</v>
      </c>
      <c r="O17" s="16" t="s">
        <v>24</v>
      </c>
      <c r="P17" s="17" t="s">
        <v>39</v>
      </c>
      <c r="Q17" s="17">
        <f t="shared" si="2"/>
        <v>0</v>
      </c>
      <c r="R17" s="17">
        <f t="shared" si="3"/>
        <v>0</v>
      </c>
      <c r="S17" s="17">
        <f t="shared" si="4"/>
        <v>0</v>
      </c>
      <c r="U17" s="18" t="str">
        <f t="shared" si="5"/>
        <v>Out of Stock</v>
      </c>
    </row>
    <row r="18" spans="2:21" ht="17.25" customHeight="1">
      <c r="B18" s="11">
        <v>13</v>
      </c>
      <c r="C18" s="21"/>
      <c r="D18" s="12"/>
      <c r="E18" s="12" t="str">
        <f t="shared" si="0"/>
        <v/>
      </c>
      <c r="F18" s="12"/>
      <c r="H18" s="13">
        <v>13</v>
      </c>
      <c r="I18" s="20"/>
      <c r="J18" s="14"/>
      <c r="K18" s="14" t="str">
        <f t="shared" si="1"/>
        <v/>
      </c>
      <c r="L18" s="14"/>
      <c r="N18" s="15">
        <v>13</v>
      </c>
      <c r="O18" s="16" t="s">
        <v>25</v>
      </c>
      <c r="P18" s="17" t="s">
        <v>40</v>
      </c>
      <c r="Q18" s="17">
        <f t="shared" si="2"/>
        <v>0</v>
      </c>
      <c r="R18" s="17">
        <f t="shared" si="3"/>
        <v>0</v>
      </c>
      <c r="S18" s="17">
        <f t="shared" si="4"/>
        <v>0</v>
      </c>
      <c r="U18" s="18" t="str">
        <f t="shared" si="5"/>
        <v>Out of Stock</v>
      </c>
    </row>
    <row r="19" spans="2:21" ht="17.25" customHeight="1">
      <c r="B19" s="11">
        <v>14</v>
      </c>
      <c r="C19" s="21"/>
      <c r="D19" s="12"/>
      <c r="E19" s="12" t="str">
        <f t="shared" si="0"/>
        <v/>
      </c>
      <c r="F19" s="12"/>
      <c r="H19" s="13">
        <v>14</v>
      </c>
      <c r="I19" s="20"/>
      <c r="J19" s="14"/>
      <c r="K19" s="14" t="str">
        <f t="shared" si="1"/>
        <v/>
      </c>
      <c r="L19" s="14"/>
      <c r="N19" s="15">
        <v>14</v>
      </c>
      <c r="O19" s="16" t="s">
        <v>26</v>
      </c>
      <c r="P19" s="17" t="s">
        <v>41</v>
      </c>
      <c r="Q19" s="17">
        <f t="shared" si="2"/>
        <v>0</v>
      </c>
      <c r="R19" s="17">
        <f t="shared" si="3"/>
        <v>0</v>
      </c>
      <c r="S19" s="17">
        <f t="shared" si="4"/>
        <v>0</v>
      </c>
      <c r="U19" s="18" t="str">
        <f t="shared" si="5"/>
        <v>Out of Stock</v>
      </c>
    </row>
    <row r="20" spans="2:21" ht="17.25" customHeight="1">
      <c r="B20" s="11">
        <v>15</v>
      </c>
      <c r="C20" s="21"/>
      <c r="D20" s="12"/>
      <c r="E20" s="12" t="str">
        <f t="shared" si="0"/>
        <v/>
      </c>
      <c r="F20" s="12"/>
      <c r="H20" s="13">
        <v>15</v>
      </c>
      <c r="I20" s="20"/>
      <c r="J20" s="14"/>
      <c r="K20" s="14" t="str">
        <f t="shared" si="1"/>
        <v/>
      </c>
      <c r="L20" s="14"/>
      <c r="N20" s="15">
        <v>15</v>
      </c>
      <c r="O20" s="16" t="s">
        <v>27</v>
      </c>
      <c r="P20" s="17" t="s">
        <v>42</v>
      </c>
      <c r="Q20" s="17">
        <f t="shared" si="2"/>
        <v>0</v>
      </c>
      <c r="R20" s="17">
        <f t="shared" si="3"/>
        <v>0</v>
      </c>
      <c r="S20" s="17">
        <f t="shared" si="4"/>
        <v>0</v>
      </c>
      <c r="U20" s="18" t="str">
        <f t="shared" si="5"/>
        <v>Out of Stock</v>
      </c>
    </row>
  </sheetData>
  <mergeCells count="5">
    <mergeCell ref="B2:U2"/>
    <mergeCell ref="B4:F4"/>
    <mergeCell ref="H4:L4"/>
    <mergeCell ref="N4:S4"/>
    <mergeCell ref="U4:U5"/>
  </mergeCells>
  <dataValidations count="1">
    <dataValidation type="list" allowBlank="1" showInputMessage="1" showErrorMessage="1" sqref="D6:D20 J6:J20">
      <formula1>$O$6:$O$20</formula1>
    </dataValidation>
  </dataValidation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System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2026-03-10T21:11:55Z</dcterms:created>
  <dcterms:modified xsi:type="dcterms:W3CDTF">2026-03-11T00:26:53Z</dcterms:modified>
</cp:coreProperties>
</file>